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SP\nsp-automation-test\DataTest\Excel\"/>
    </mc:Choice>
  </mc:AlternateContent>
  <bookViews>
    <workbookView xWindow="0" yWindow="0" windowWidth="28800" windowHeight="8700"/>
  </bookViews>
  <sheets>
    <sheet name="Template" sheetId="1" r:id="rId1"/>
    <sheet name="Project" sheetId="2" r:id="rId2"/>
    <sheet name="UNIT_TYPE" sheetId="3" r:id="rId3"/>
    <sheet name="BEDROOM_NUMBER" sheetId="4" r:id="rId4"/>
    <sheet name="WC_NUMBER" sheetId="5" r:id="rId5"/>
    <sheet name="DIRECTION" sheetId="6" r:id="rId6"/>
    <sheet name="VIEW" sheetId="7" r:id="rId7"/>
  </sheets>
  <calcPr calcId="162913"/>
</workbook>
</file>

<file path=xl/calcChain.xml><?xml version="1.0" encoding="utf-8"?>
<calcChain xmlns="http://schemas.openxmlformats.org/spreadsheetml/2006/main">
  <c r="AR5" i="1" l="1" a="1"/>
  <c r="AR5" i="1" s="1"/>
  <c r="AQ5" i="1" a="1"/>
  <c r="AQ5" i="1" s="1"/>
  <c r="AP5" i="1" a="1"/>
  <c r="AP5" i="1" s="1"/>
  <c r="AO5" i="1" a="1"/>
  <c r="AO5" i="1" s="1"/>
  <c r="AN5" i="1" a="1"/>
  <c r="AN5" i="1" s="1"/>
  <c r="AM5" i="1" a="1"/>
  <c r="AM5" i="1" s="1"/>
  <c r="AR4" i="1" a="1"/>
  <c r="AR4" i="1" s="1"/>
  <c r="AQ4" i="1" a="1"/>
  <c r="AQ4" i="1" s="1"/>
  <c r="AP4" i="1" a="1"/>
  <c r="AP4" i="1" s="1"/>
  <c r="AO4" i="1" a="1"/>
  <c r="AO4" i="1" s="1"/>
  <c r="AN4" i="1" a="1"/>
  <c r="AN4" i="1" s="1"/>
  <c r="AM4" i="1" a="1"/>
  <c r="AM4" i="1" s="1"/>
</calcChain>
</file>

<file path=xl/sharedStrings.xml><?xml version="1.0" encoding="utf-8"?>
<sst xmlns="http://schemas.openxmlformats.org/spreadsheetml/2006/main" count="233" uniqueCount="199">
  <si>
    <t>projectName</t>
  </si>
  <si>
    <t>unitCode</t>
  </si>
  <si>
    <t>unitNo</t>
  </si>
  <si>
    <t>Loại căn hộ*</t>
  </si>
  <si>
    <t>tower</t>
  </si>
  <si>
    <t>floor</t>
  </si>
  <si>
    <t>unitNumber</t>
  </si>
  <si>
    <t>totalFloors</t>
  </si>
  <si>
    <t>Số phòng ngủ</t>
  </si>
  <si>
    <t>Số phòng tắm</t>
  </si>
  <si>
    <t>landPlotNumber</t>
  </si>
  <si>
    <t>Hướng ban công</t>
  </si>
  <si>
    <t>Hướng cửa chính</t>
  </si>
  <si>
    <t>viewDirection</t>
  </si>
  <si>
    <t>clearInternalArea</t>
  </si>
  <si>
    <t>wallCenterlineArea</t>
  </si>
  <si>
    <t>landArea</t>
  </si>
  <si>
    <t>constructionArea</t>
  </si>
  <si>
    <t>floorConstructionArea</t>
  </si>
  <si>
    <t>taxableArea</t>
  </si>
  <si>
    <t>mapSheetNumber</t>
  </si>
  <si>
    <t>plotNumber</t>
  </si>
  <si>
    <t>certificateNumber</t>
  </si>
  <si>
    <t>bookNumber</t>
  </si>
  <si>
    <t>constructionUnitPrice</t>
  </si>
  <si>
    <t>landUnitPrice</t>
  </si>
  <si>
    <t>issueDate</t>
  </si>
  <si>
    <t>finishingStandard</t>
  </si>
  <si>
    <t>streetName</t>
  </si>
  <si>
    <t>houseNumber</t>
  </si>
  <si>
    <t>managementFeeMonths</t>
  </si>
  <si>
    <t>managementFeeUnitPrice</t>
  </si>
  <si>
    <t>maintenanceFundRate</t>
  </si>
  <si>
    <t>block</t>
  </si>
  <si>
    <t>zone</t>
  </si>
  <si>
    <t>project</t>
  </si>
  <si>
    <t>unitType</t>
  </si>
  <si>
    <t>apartmentType</t>
  </si>
  <si>
    <t>numberOfBathrooms</t>
  </si>
  <si>
    <t>balconyDirection</t>
  </si>
  <si>
    <t>mainDoorDirection</t>
  </si>
  <si>
    <t>Tên dự án*</t>
  </si>
  <si>
    <t>Mã căn hệ thống*</t>
  </si>
  <si>
    <t>Mã căn thương mại*</t>
  </si>
  <si>
    <t>Tòa/Khu</t>
  </si>
  <si>
    <t>Tầng (Floor)</t>
  </si>
  <si>
    <t>Căn số</t>
  </si>
  <si>
    <t>Số tầng</t>
  </si>
  <si>
    <t>Lô đất</t>
  </si>
  <si>
    <t>View</t>
  </si>
  <si>
    <t>Diện tích thông thủy</t>
  </si>
  <si>
    <t>Diện tích tim tường</t>
  </si>
  <si>
    <t>Diện tích đất</t>
  </si>
  <si>
    <t>Diện tích xây dựng ( tầng 1)</t>
  </si>
  <si>
    <t>Diện tích sàn xây dựng</t>
  </si>
  <si>
    <t>Diện tích tính thuế*</t>
  </si>
  <si>
    <t>Tờ bản đồ</t>
  </si>
  <si>
    <t>Thửa đất</t>
  </si>
  <si>
    <t>Số sổ</t>
  </si>
  <si>
    <t>Số vào sổ</t>
  </si>
  <si>
    <t>Diện tích thửa</t>
  </si>
  <si>
    <t>Đơn giá xây dựng</t>
  </si>
  <si>
    <t>Đơn giá đất *</t>
  </si>
  <si>
    <t>Ngày cấp</t>
  </si>
  <si>
    <t>Phân loại hoàn thiện</t>
  </si>
  <si>
    <t>Tên đường</t>
  </si>
  <si>
    <t>Số nhà</t>
  </si>
  <si>
    <t>Số tháng thu PQL</t>
  </si>
  <si>
    <t>Đơn giá PQl</t>
  </si>
  <si>
    <t>% KPBT *</t>
  </si>
  <si>
    <t>Block</t>
  </si>
  <si>
    <t>Phân khu</t>
  </si>
  <si>
    <t xml:space="preserve">PLEASE DO NOT EDIT </t>
  </si>
  <si>
    <t>ID Dự án</t>
  </si>
  <si>
    <t>Mã Loại căn hộ</t>
  </si>
  <si>
    <t>Mã Hướng ban công</t>
  </si>
  <si>
    <t>Mã Hướng cửa chính</t>
  </si>
  <si>
    <t>Tên dự án dùng để định danh căn hộ được tải lên thuộc dự án nào</t>
  </si>
  <si>
    <t>Mã căn dùng để định danh</t>
  </si>
  <si>
    <t>Mã căn thông báo ra bên ngoài</t>
  </si>
  <si>
    <t>dd/MM/yyyy</t>
  </si>
  <si>
    <t>LUMIÈRE Riverside</t>
  </si>
  <si>
    <t>AUTO_UI_4_07052026112731</t>
  </si>
  <si>
    <t>88_86</t>
  </si>
  <si>
    <t>Shophouse</t>
  </si>
  <si>
    <t>EAST</t>
  </si>
  <si>
    <t>1PN</t>
  </si>
  <si>
    <t>3WC</t>
  </si>
  <si>
    <t>Đông</t>
  </si>
  <si>
    <t>Nam</t>
  </si>
  <si>
    <t>Hồ bơi - Sân vườn nội khu</t>
  </si>
  <si>
    <t>AUTO_UI_5_07052026112731</t>
  </si>
  <si>
    <t>88_87</t>
  </si>
  <si>
    <t>ID Dự Án</t>
  </si>
  <si>
    <t>Tên Dự Án</t>
  </si>
  <si>
    <t>019cb2aa-cd43-7148-8140-51c88a9317f4</t>
  </si>
  <si>
    <t>LUMIÈRE Boulevard</t>
  </si>
  <si>
    <t>019cbcf2-e552-708f-9297-4ed075ec1826</t>
  </si>
  <si>
    <t>MRS1235555</t>
  </si>
  <si>
    <t>019cd1e4-b05f-726b-87fd-b25b236ecae9</t>
  </si>
  <si>
    <t>MGA</t>
  </si>
  <si>
    <t>019cbc21-4f75-7f47-aee7-872e4b286a3e</t>
  </si>
  <si>
    <t>MCPppp</t>
  </si>
  <si>
    <t>019cb201-e266-7408-a2ee-88f1b95af736</t>
  </si>
  <si>
    <t>Vinhomes Grand Park Project</t>
  </si>
  <si>
    <t>019cbd61-fcd5-72e8-baee-31c23888bedc</t>
  </si>
  <si>
    <t>MLS</t>
  </si>
  <si>
    <t>019cbd74-107c-7063-a86f-1f46672201d9</t>
  </si>
  <si>
    <t>123 LUM</t>
  </si>
  <si>
    <t>019cbd7b-e5be-7731-a464-b20238dbfa82</t>
  </si>
  <si>
    <t>019cf4a1-006a-7761-a6ec-6c3ca6aac07e</t>
  </si>
  <si>
    <t>LMG 789</t>
  </si>
  <si>
    <t>019cb1ef-8906-75e0-853c-76255e6a631a</t>
  </si>
  <si>
    <t>019cb203-820f-757b-a483-e0645ceff7f8</t>
  </si>
  <si>
    <t>019cdb05-4bc6-7836-bab0-b158b95c935b</t>
  </si>
  <si>
    <t>LMT</t>
  </si>
  <si>
    <t>019cbd84-5fdb-71c6-81f1-d6c2d62a51bb</t>
  </si>
  <si>
    <t>GMS</t>
  </si>
  <si>
    <t>019cdb0a-0494-7b29-a2ad-d6688e5444f0</t>
  </si>
  <si>
    <t>LUMIÈRE Midtown</t>
  </si>
  <si>
    <t>019cf47b-a0d9-73e7-945d-d34415ce2215</t>
  </si>
  <si>
    <t>CT</t>
  </si>
  <si>
    <t>019cbd06-2ac9-77d0-930c-0ee16b9854f1</t>
  </si>
  <si>
    <t>OCP2 short</t>
  </si>
  <si>
    <t>019cf4c4-ba17-7d25-996f-4e1c356e802b</t>
  </si>
  <si>
    <t>Villa Oasis</t>
  </si>
  <si>
    <t>Mã</t>
  </si>
  <si>
    <t>Tên</t>
  </si>
  <si>
    <t>APT</t>
  </si>
  <si>
    <t>Căn hộ thường</t>
  </si>
  <si>
    <t>SHP</t>
  </si>
  <si>
    <t>PNT</t>
  </si>
  <si>
    <t>Penthouse</t>
  </si>
  <si>
    <t>DPX</t>
  </si>
  <si>
    <t>Duplex</t>
  </si>
  <si>
    <t>OFT</t>
  </si>
  <si>
    <t>Officetel</t>
  </si>
  <si>
    <t>STU</t>
  </si>
  <si>
    <t>Studio</t>
  </si>
  <si>
    <t>LFT</t>
  </si>
  <si>
    <t>Lofthouse</t>
  </si>
  <si>
    <t>LNK</t>
  </si>
  <si>
    <t>Linkable</t>
  </si>
  <si>
    <t>SV</t>
  </si>
  <si>
    <t>Biệt thự đơn lập</t>
  </si>
  <si>
    <t>SDV</t>
  </si>
  <si>
    <t>Biệt thự song lập</t>
  </si>
  <si>
    <t>QV</t>
  </si>
  <si>
    <t>Biệt thự tứ lập</t>
  </si>
  <si>
    <t>TH</t>
  </si>
  <si>
    <t>Nhà đất</t>
  </si>
  <si>
    <t>STUDIO</t>
  </si>
  <si>
    <t>0PN</t>
  </si>
  <si>
    <t>ONE_BR</t>
  </si>
  <si>
    <t>ONE_BR_PLUS</t>
  </si>
  <si>
    <t>1PN+</t>
  </si>
  <si>
    <t>TWO_BR</t>
  </si>
  <si>
    <t>2PN</t>
  </si>
  <si>
    <t>TWO_BR_PLUS</t>
  </si>
  <si>
    <t>2PN+</t>
  </si>
  <si>
    <t>THREE_BR</t>
  </si>
  <si>
    <t>3PN</t>
  </si>
  <si>
    <t>THREE_BR_PLUS</t>
  </si>
  <si>
    <t>3PN+</t>
  </si>
  <si>
    <t>FOUR_BR</t>
  </si>
  <si>
    <t>FIVE_BR</t>
  </si>
  <si>
    <t>5PN</t>
  </si>
  <si>
    <t>SIX_BR</t>
  </si>
  <si>
    <t>6PN</t>
  </si>
  <si>
    <t>SEVEN_BR</t>
  </si>
  <si>
    <t>7PN</t>
  </si>
  <si>
    <t>1</t>
  </si>
  <si>
    <t>1WC</t>
  </si>
  <si>
    <t>2</t>
  </si>
  <si>
    <t>2WC</t>
  </si>
  <si>
    <t>3</t>
  </si>
  <si>
    <t>4</t>
  </si>
  <si>
    <t>4WC</t>
  </si>
  <si>
    <t>5</t>
  </si>
  <si>
    <t>5WC</t>
  </si>
  <si>
    <t>6</t>
  </si>
  <si>
    <t>6WC</t>
  </si>
  <si>
    <t>7</t>
  </si>
  <si>
    <t>7WC</t>
  </si>
  <si>
    <t>UNIT_DIRECTION_SW</t>
  </si>
  <si>
    <t>Tây Nam</t>
  </si>
  <si>
    <t>UNIT_DIRECTION_NE</t>
  </si>
  <si>
    <t>Đông Bắc</t>
  </si>
  <si>
    <t>UNIT_DIRECTION_W</t>
  </si>
  <si>
    <t>Tây</t>
  </si>
  <si>
    <t>UNIT_DIRECTION_S</t>
  </si>
  <si>
    <t>UNIT_DIRECTION_E</t>
  </si>
  <si>
    <t>UNIT_DIRECTION_N</t>
  </si>
  <si>
    <t>Bắc</t>
  </si>
  <si>
    <t>UNIT_VIEW_INTERNAL_PARK</t>
  </si>
  <si>
    <t>Công viên nội khu</t>
  </si>
  <si>
    <t>UNIT_VIEW_INTERNAL_POOL_GARDEN</t>
  </si>
  <si>
    <t>UNIT_VIEW_INTERNAL_GARDEN</t>
  </si>
  <si>
    <t>Sân vườn nội khu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</si>
</sst>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Arial"/>
      <scheme val="minor"/>
    </font>
    <font>
      <b/>
      <i/>
      <sz val="9"/>
      <color rgb="FFFF0000"/>
      <name val="Arial"/>
    </font>
    <font>
      <b/>
      <sz val="11"/>
      <color rgb="FF000000"/>
      <name val="Arial"/>
    </font>
    <font>
      <b/>
      <i/>
      <sz val="9"/>
      <color rgb="FFFF0000"/>
      <name val="Calibri"/>
    </font>
    <font>
      <b/>
      <sz val="11"/>
      <color rgb="FF000000"/>
      <name val="Calibri"/>
    </font>
    <font>
      <sz val="11"/>
      <color rgb="FF000000"/>
      <name val="Arial"/>
    </font>
    <font>
      <b/>
      <sz val="8"/>
      <color rgb="FFFF0000"/>
      <name val="Arial"/>
    </font>
    <font>
      <b/>
      <sz val="11"/>
      <color rgb="FFFF0000"/>
      <name val="Arial"/>
    </font>
    <font>
      <i/>
      <sz val="8"/>
      <color rgb="FF000000"/>
      <name val="Tahoma"/>
    </font>
    <font>
      <i/>
      <sz val="8"/>
      <color rgb="FF000000"/>
      <name val="Arial"/>
    </font>
    <font>
      <sz val="11"/>
      <color rgb="FF000000"/>
      <name val="Tahoma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D9F1F3"/>
        <bgColor rgb="FFD9F1F3"/>
      </patternFill>
    </fill>
    <fill>
      <patternFill patternType="solid">
        <fgColor rgb="FFE8F0FE"/>
        <bgColor rgb="FFE8F0FE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30">
    <xf numFmtId="0" fontId="0" fillId="0" borderId="0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3" borderId="2" xfId="0" applyFont="1" applyFill="1" applyAlignment="1">
      <alignment horizontal="center" vertical="center"/>
    </xf>
    <xf numFmtId="0" fontId="6" fillId="3" borderId="2" xfId="0" applyFont="1" applyFill="1" applyAlignment="1">
      <alignment horizontal="center" vertical="center"/>
    </xf>
    <xf numFmtId="0" fontId="1" fillId="3" borderId="2" xfId="0" applyFont="1" applyFill="1" applyAlignment="1">
      <alignment horizontal="center" vertical="center" wrapText="1"/>
    </xf>
    <xf numFmtId="0" fontId="3" fillId="3" borderId="2" xfId="0" applyFont="1" applyFill="1" applyAlignment="1">
      <alignment horizontal="center" vertical="center" wrapText="1"/>
    </xf>
    <xf numFmtId="0" fontId="1" fillId="3" borderId="2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3" borderId="2" xfId="0" applyFont="1" applyFill="1" applyAlignment="1">
      <alignment horizontal="center" vertical="center"/>
    </xf>
    <xf numFmtId="0" fontId="2" fillId="3" borderId="2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right"/>
    </xf>
    <xf numFmtId="0" fontId="5" fillId="0" borderId="1" xfId="0" applyFont="1" applyBorder="1"/>
    <xf numFmtId="0" fontId="10" fillId="0" borderId="1" xfId="0" applyFont="1" applyBorder="1"/>
    <xf numFmtId="3" fontId="10" fillId="0" borderId="1" xfId="0" applyNumberFormat="1" applyFont="1" applyBorder="1"/>
    <xf numFmtId="0" fontId="5" fillId="3" borderId="2" xfId="0" applyFont="1" applyFill="1" applyAlignment="1">
      <alignment vertical="top"/>
    </xf>
    <xf numFmtId="49" fontId="5" fillId="4" borderId="2" xfId="0" applyNumberFormat="1" applyFont="1" applyFill="1"/>
    <xf numFmtId="0" fontId="5" fillId="4" borderId="2" xfId="0" applyFont="1" applyFill="1"/>
    <xf numFmtId="49" fontId="5" fillId="5" borderId="2" xfId="0" applyNumberFormat="1" applyFont="1" applyFill="1"/>
    <xf numFmtId="0" fontId="5" fillId="5" borderId="2" xfId="0" applyFont="1" applyFill="1"/>
    <xf numFmtId="0" fontId="11" fillId="0" borderId="0" xfId="0" applyFont="1" applyBorder="1"/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"/>
  <sheetViews>
    <sheetView tabSelected="1" workbookViewId="0">
      <selection activeCell="B5" sqref="B5"/>
    </sheetView>
  </sheetViews>
  <sheetFormatPr defaultColWidth="12.5703125" defaultRowHeight="15" customHeight="1" x14ac:dyDescent="0.2"/>
  <cols>
    <col min="1" max="1" width="19.85546875" customWidth="1"/>
    <col min="2" max="2" width="29.42578125" customWidth="1"/>
    <col min="3" max="3" width="11.5703125" customWidth="1"/>
    <col min="4" max="4" width="12.42578125" customWidth="1"/>
    <col min="5" max="5" width="7.42578125" customWidth="1"/>
    <col min="6" max="6" width="10" customWidth="1"/>
    <col min="7" max="7" width="9.42578125" customWidth="1"/>
    <col min="8" max="8" width="7.7109375" customWidth="1"/>
    <col min="9" max="9" width="11.7109375" customWidth="1"/>
    <col min="10" max="10" width="11.42578125" customWidth="1"/>
    <col min="11" max="11" width="12.5703125" customWidth="1"/>
    <col min="12" max="12" width="13.5703125" customWidth="1"/>
    <col min="13" max="13" width="14.28515625" customWidth="1"/>
    <col min="14" max="14" width="24.7109375" customWidth="1"/>
    <col min="15" max="15" width="13.28515625" customWidth="1"/>
    <col min="16" max="16" width="14.42578125" customWidth="1"/>
    <col min="17" max="17" width="10.7109375" customWidth="1"/>
    <col min="18" max="18" width="13.42578125" customWidth="1"/>
    <col min="19" max="19" width="17" customWidth="1"/>
    <col min="20" max="20" width="11.28515625" customWidth="1"/>
    <col min="21" max="21" width="13.85546875" customWidth="1"/>
    <col min="22" max="22" width="9.42578125" customWidth="1"/>
    <col min="23" max="23" width="13.7109375" customWidth="1"/>
    <col min="24" max="24" width="10.28515625" customWidth="1"/>
    <col min="25" max="25" width="11.85546875" customWidth="1"/>
    <col min="26" max="26" width="16.5703125" customWidth="1"/>
    <col min="27" max="27" width="12.5703125" customWidth="1"/>
    <col min="28" max="28" width="10" customWidth="1"/>
    <col min="29" max="29" width="18" customWidth="1"/>
    <col min="30" max="30" width="9.28515625" customWidth="1"/>
    <col min="31" max="31" width="11.140625" customWidth="1"/>
    <col min="32" max="32" width="18.140625" customWidth="1"/>
    <col min="33" max="33" width="19.42578125" customWidth="1"/>
    <col min="34" max="36" width="17.140625" customWidth="1"/>
    <col min="38" max="38" width="21.140625" customWidth="1"/>
    <col min="39" max="39" width="33.7109375" customWidth="1"/>
    <col min="40" max="40" width="13.42578125" customWidth="1"/>
    <col min="41" max="41" width="20" customWidth="1"/>
    <col min="42" max="42" width="14.140625" customWidth="1"/>
    <col min="43" max="43" width="18.5703125" customWidth="1"/>
    <col min="44" max="44" width="19.140625" customWidth="1"/>
  </cols>
  <sheetData>
    <row r="1" spans="1:54" ht="30" customHeight="1" x14ac:dyDescent="0.2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1" t="s">
        <v>6</v>
      </c>
      <c r="H1" s="4" t="s">
        <v>7</v>
      </c>
      <c r="I1" s="5" t="s">
        <v>8</v>
      </c>
      <c r="J1" s="5" t="s">
        <v>9</v>
      </c>
      <c r="K1" s="1" t="s">
        <v>10</v>
      </c>
      <c r="L1" s="5" t="s">
        <v>11</v>
      </c>
      <c r="M1" s="5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16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6"/>
      <c r="AL1" s="7"/>
      <c r="AM1" s="8" t="s">
        <v>35</v>
      </c>
      <c r="AN1" s="9" t="s">
        <v>36</v>
      </c>
      <c r="AO1" s="9" t="s">
        <v>37</v>
      </c>
      <c r="AP1" s="10" t="s">
        <v>38</v>
      </c>
      <c r="AQ1" s="11" t="s">
        <v>39</v>
      </c>
      <c r="AR1" s="11" t="s">
        <v>40</v>
      </c>
      <c r="AS1" s="7"/>
      <c r="AT1" s="7"/>
      <c r="AU1" s="7"/>
      <c r="AV1" s="7"/>
      <c r="AW1" s="7"/>
      <c r="AX1" s="7"/>
      <c r="AY1" s="7"/>
      <c r="AZ1" s="7"/>
      <c r="BA1" s="7"/>
      <c r="BB1" s="7"/>
    </row>
    <row r="2" spans="1:54" ht="45" customHeight="1" x14ac:dyDescent="0.2">
      <c r="A2" s="12" t="s">
        <v>41</v>
      </c>
      <c r="B2" s="3" t="s">
        <v>42</v>
      </c>
      <c r="C2" s="5" t="s">
        <v>43</v>
      </c>
      <c r="D2" s="3" t="s">
        <v>3</v>
      </c>
      <c r="E2" s="5" t="s">
        <v>44</v>
      </c>
      <c r="F2" s="5" t="s">
        <v>45</v>
      </c>
      <c r="G2" s="5" t="s">
        <v>46</v>
      </c>
      <c r="H2" s="5" t="s">
        <v>47</v>
      </c>
      <c r="I2" s="5" t="s">
        <v>8</v>
      </c>
      <c r="J2" s="5" t="s">
        <v>9</v>
      </c>
      <c r="K2" s="5" t="s">
        <v>48</v>
      </c>
      <c r="L2" s="5" t="s">
        <v>11</v>
      </c>
      <c r="M2" s="5" t="s">
        <v>12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  <c r="X2" s="5" t="s">
        <v>59</v>
      </c>
      <c r="Y2" s="5" t="s">
        <v>60</v>
      </c>
      <c r="Z2" s="5" t="s">
        <v>61</v>
      </c>
      <c r="AA2" s="5" t="s">
        <v>62</v>
      </c>
      <c r="AB2" s="5" t="s">
        <v>63</v>
      </c>
      <c r="AC2" s="5" t="s">
        <v>64</v>
      </c>
      <c r="AD2" s="5" t="s">
        <v>65</v>
      </c>
      <c r="AE2" s="5" t="s">
        <v>66</v>
      </c>
      <c r="AF2" s="5" t="s">
        <v>67</v>
      </c>
      <c r="AG2" s="5" t="s">
        <v>68</v>
      </c>
      <c r="AH2" s="5" t="s">
        <v>69</v>
      </c>
      <c r="AI2" s="5" t="s">
        <v>70</v>
      </c>
      <c r="AJ2" s="5" t="s">
        <v>71</v>
      </c>
      <c r="AK2" s="6"/>
      <c r="AL2" s="13" t="s">
        <v>72</v>
      </c>
      <c r="AM2" s="14" t="s">
        <v>73</v>
      </c>
      <c r="AN2" s="7" t="s">
        <v>74</v>
      </c>
      <c r="AO2" s="7" t="s">
        <v>8</v>
      </c>
      <c r="AP2" s="7" t="s">
        <v>9</v>
      </c>
      <c r="AQ2" s="7" t="s">
        <v>75</v>
      </c>
      <c r="AR2" s="7" t="s">
        <v>76</v>
      </c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 ht="31.5" customHeight="1" x14ac:dyDescent="0.2">
      <c r="A3" s="15" t="s">
        <v>77</v>
      </c>
      <c r="B3" s="15" t="s">
        <v>78</v>
      </c>
      <c r="C3" s="15" t="s">
        <v>79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7"/>
      <c r="AB3" s="18" t="s">
        <v>80</v>
      </c>
      <c r="AC3" s="16"/>
      <c r="AD3" s="16"/>
      <c r="AE3" s="16"/>
      <c r="AF3" s="16"/>
      <c r="AG3" s="16"/>
      <c r="AH3" s="16"/>
      <c r="AI3" s="16"/>
      <c r="AJ3" s="16"/>
      <c r="AK3" s="6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</row>
    <row r="4" spans="1:54" ht="14.25" customHeight="1" x14ac:dyDescent="0.2">
      <c r="A4" s="21" t="s">
        <v>81</v>
      </c>
      <c r="B4" s="21" t="s">
        <v>82</v>
      </c>
      <c r="C4" s="21" t="s">
        <v>83</v>
      </c>
      <c r="D4" s="21" t="s">
        <v>84</v>
      </c>
      <c r="E4" s="21" t="s">
        <v>85</v>
      </c>
      <c r="F4" s="19">
        <v>8</v>
      </c>
      <c r="G4" s="19">
        <v>69</v>
      </c>
      <c r="H4" s="20">
        <v>8</v>
      </c>
      <c r="I4" s="21" t="s">
        <v>86</v>
      </c>
      <c r="J4" s="20" t="s">
        <v>87</v>
      </c>
      <c r="K4" s="21">
        <v>89</v>
      </c>
      <c r="L4" s="21" t="s">
        <v>88</v>
      </c>
      <c r="M4" s="21" t="s">
        <v>89</v>
      </c>
      <c r="N4" s="21" t="s">
        <v>90</v>
      </c>
      <c r="O4" s="19">
        <v>100</v>
      </c>
      <c r="P4" s="19">
        <v>120</v>
      </c>
      <c r="Q4" s="20"/>
      <c r="R4" s="20"/>
      <c r="S4" s="20"/>
      <c r="T4" s="20">
        <v>66</v>
      </c>
      <c r="U4" s="19">
        <v>66</v>
      </c>
      <c r="V4" s="20">
        <v>88</v>
      </c>
      <c r="W4" s="21"/>
      <c r="X4" s="21"/>
      <c r="Y4" s="20"/>
      <c r="Z4" s="20"/>
      <c r="AA4" s="22">
        <v>50000000</v>
      </c>
      <c r="AB4" s="20"/>
      <c r="AC4" s="20">
        <v>100</v>
      </c>
      <c r="AD4" s="20"/>
      <c r="AE4" s="20"/>
      <c r="AF4" s="20">
        <v>24</v>
      </c>
      <c r="AG4" s="20">
        <v>15000</v>
      </c>
      <c r="AH4" s="20">
        <v>2</v>
      </c>
      <c r="AI4" s="20">
        <v>2</v>
      </c>
      <c r="AJ4" s="20">
        <v>2</v>
      </c>
      <c r="AK4" s="29"/>
      <c r="AL4" s="23"/>
      <c r="AM4" s="23" t="str">
        <f t="array" ref="AM4">IFERROR(INDEX(Project!A$2:A$2000, MATCH(A4, Project!B$2:B$2000, 0)), "")</f>
        <v>019cb203-820f-757b-a483-e0645ceff7f8</v>
      </c>
      <c r="AN4" s="23" t="str">
        <f t="array" ref="AN4">IFERROR(INDEX(UNIT_TYPE!A$2:A$2000, MATCH(D4, UNIT_TYPE!B$2:B$100, 0)), "")</f>
        <v>SHP</v>
      </c>
      <c r="AO4" s="23" t="str">
        <f t="array" ref="AO4">IFERROR(INDEX(BEDROOM_NUMBER!A$4:A$2000, MATCH(I4, BEDROOM_NUMBER!B$2:B$2000, 0)), "")</f>
        <v>TWO_BR</v>
      </c>
      <c r="AP4" s="23" t="str">
        <f t="array" ref="AP4">IFERROR(INDEX(WC_NUMBER!A$2:A$2000, MATCH(J4, WC_NUMBER!B$2:B$2000, 0)), "")</f>
        <v>3</v>
      </c>
      <c r="AQ4" s="23" t="str">
        <f t="array" ref="AQ4">IFERROR(INDEX(DIRECTION!A$2:A$2000, MATCH(L4, DIRECTION!B$2:B$2000, 0)), "")</f>
        <v>UNIT_DIRECTION_E</v>
      </c>
      <c r="AR4" s="23" t="str">
        <f t="array" ref="AR4">IFERROR(INDEX(DIRECTION!A$1:A$2000, MATCH(M4, DIRECTION!B$2:B$2000, 0)), "")</f>
        <v>UNIT_DIRECTION_W</v>
      </c>
      <c r="AS4" s="23"/>
      <c r="AT4" s="23"/>
      <c r="AU4" s="23"/>
      <c r="AV4" s="23"/>
      <c r="AW4" s="23"/>
      <c r="AX4" s="23"/>
      <c r="AY4" s="23"/>
      <c r="AZ4" s="23"/>
      <c r="BA4" s="23"/>
      <c r="BB4" s="23"/>
    </row>
    <row r="5" spans="1:54" ht="14.25" customHeight="1" x14ac:dyDescent="0.2">
      <c r="A5" s="21" t="s">
        <v>81</v>
      </c>
      <c r="B5" s="21" t="s">
        <v>91</v>
      </c>
      <c r="C5" s="21" t="s">
        <v>92</v>
      </c>
      <c r="D5" s="21" t="s">
        <v>84</v>
      </c>
      <c r="E5" s="21" t="s">
        <v>85</v>
      </c>
      <c r="F5" s="19">
        <v>8</v>
      </c>
      <c r="G5" s="19">
        <v>69</v>
      </c>
      <c r="H5" s="20">
        <v>8</v>
      </c>
      <c r="I5" s="21" t="s">
        <v>86</v>
      </c>
      <c r="J5" s="20" t="s">
        <v>87</v>
      </c>
      <c r="K5" s="21">
        <v>89</v>
      </c>
      <c r="L5" s="21" t="s">
        <v>88</v>
      </c>
      <c r="M5" s="21" t="s">
        <v>89</v>
      </c>
      <c r="N5" s="21" t="s">
        <v>90</v>
      </c>
      <c r="O5" s="19">
        <v>100</v>
      </c>
      <c r="P5" s="19">
        <v>120</v>
      </c>
      <c r="Q5" s="20"/>
      <c r="R5" s="20"/>
      <c r="S5" s="20"/>
      <c r="T5" s="20">
        <v>66</v>
      </c>
      <c r="U5" s="19">
        <v>66</v>
      </c>
      <c r="V5" s="20">
        <v>88</v>
      </c>
      <c r="W5" s="21"/>
      <c r="X5" s="21"/>
      <c r="Y5" s="20"/>
      <c r="Z5" s="20"/>
      <c r="AA5" s="22">
        <v>50000000</v>
      </c>
      <c r="AB5" s="20"/>
      <c r="AC5" s="20">
        <v>100</v>
      </c>
      <c r="AD5" s="20"/>
      <c r="AE5" s="20"/>
      <c r="AF5" s="20">
        <v>24</v>
      </c>
      <c r="AG5" s="20">
        <v>15000</v>
      </c>
      <c r="AH5" s="20">
        <v>2</v>
      </c>
      <c r="AI5" s="20">
        <v>2</v>
      </c>
      <c r="AJ5" s="20">
        <v>2</v>
      </c>
      <c r="AK5" s="29"/>
      <c r="AL5" s="23"/>
      <c r="AM5" s="23" t="str">
        <f t="array" ref="AM5">IFERROR(INDEX(Project!A$2:A$2000, MATCH(A5, Project!B$2:B$2000, 0)), "")</f>
        <v>019cb203-820f-757b-a483-e0645ceff7f8</v>
      </c>
      <c r="AN5" s="23" t="str">
        <f t="array" ref="AN5">IFERROR(INDEX(UNIT_TYPE!A$2:A$2000, MATCH(D5, UNIT_TYPE!B$2:B$100, 0)), "")</f>
        <v>SHP</v>
      </c>
      <c r="AO5" s="23" t="str">
        <f t="array" ref="AO5">IFERROR(INDEX(BEDROOM_NUMBER!A$4:A$2000, MATCH(I5, BEDROOM_NUMBER!B$2:B$2000, 0)), "")</f>
        <v>TWO_BR</v>
      </c>
      <c r="AP5" s="23" t="str">
        <f t="array" ref="AP5">IFERROR(INDEX(WC_NUMBER!A$2:A$2000, MATCH(J5, WC_NUMBER!B$2:B$2000, 0)), "")</f>
        <v>3</v>
      </c>
      <c r="AQ5" s="23" t="str">
        <f t="array" ref="AQ5">IFERROR(INDEX(DIRECTION!A$2:A$2000, MATCH(L5, DIRECTION!B$2:B$2000, 0)), "")</f>
        <v>UNIT_DIRECTION_E</v>
      </c>
      <c r="AR5" s="23" t="str">
        <f t="array" ref="AR5">IFERROR(INDEX(DIRECTION!A$1:A$2000, MATCH(M5, DIRECTION!B$2:B$2000, 0)), "")</f>
        <v>UNIT_DIRECTION_W</v>
      </c>
      <c r="AS5" s="23"/>
      <c r="AT5" s="23"/>
      <c r="AU5" s="23"/>
      <c r="AV5" s="23"/>
      <c r="AW5" s="23"/>
      <c r="AX5" s="23"/>
      <c r="AY5" s="23"/>
      <c r="AZ5" s="23"/>
      <c r="BA5" s="23"/>
      <c r="BB5" s="23"/>
    </row>
  </sheetData>
  <pageMargins left="0.74791666666666701" right="0.74791666666666701" top="0.98402777777777795" bottom="0.9840277777777779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2.5703125" defaultRowHeight="15" customHeight="1" x14ac:dyDescent="0.2"/>
  <cols>
    <col min="1" max="1" width="37.140625" customWidth="1"/>
    <col min="2" max="2" width="17.28515625" customWidth="1"/>
    <col min="3" max="6" width="12.5703125" customWidth="1"/>
  </cols>
  <sheetData>
    <row r="1" spans="1:2" ht="12" customHeight="1" x14ac:dyDescent="0.2">
      <c r="A1" s="29" t="s">
        <v>93</v>
      </c>
      <c r="B1" s="29" t="s">
        <v>94</v>
      </c>
    </row>
    <row r="2" spans="1:2" ht="12" customHeight="1" x14ac:dyDescent="0.2">
      <c r="A2" s="29" t="s">
        <v>95</v>
      </c>
      <c r="B2" s="29" t="s">
        <v>96</v>
      </c>
    </row>
    <row r="3" spans="1:2" ht="12" customHeight="1" x14ac:dyDescent="0.2">
      <c r="A3" s="29" t="s">
        <v>97</v>
      </c>
      <c r="B3" s="29" t="s">
        <v>98</v>
      </c>
    </row>
    <row r="4" spans="1:2" ht="12" customHeight="1" x14ac:dyDescent="0.2">
      <c r="A4" s="29" t="s">
        <v>99</v>
      </c>
      <c r="B4" s="29" t="s">
        <v>100</v>
      </c>
    </row>
    <row r="5" spans="1:2" ht="12" customHeight="1" x14ac:dyDescent="0.2">
      <c r="A5" s="29" t="s">
        <v>101</v>
      </c>
      <c r="B5" s="29" t="s">
        <v>102</v>
      </c>
    </row>
    <row r="6" spans="1:2" ht="12" customHeight="1" x14ac:dyDescent="0.2">
      <c r="A6" s="29" t="s">
        <v>103</v>
      </c>
      <c r="B6" s="29" t="s">
        <v>104</v>
      </c>
    </row>
    <row r="7" spans="1:2" ht="12" customHeight="1" x14ac:dyDescent="0.2">
      <c r="A7" s="29" t="s">
        <v>105</v>
      </c>
      <c r="B7" s="29" t="s">
        <v>106</v>
      </c>
    </row>
    <row r="8" spans="1:2" ht="12" customHeight="1" x14ac:dyDescent="0.2">
      <c r="A8" s="29" t="s">
        <v>107</v>
      </c>
      <c r="B8" s="29" t="s">
        <v>108</v>
      </c>
    </row>
    <row r="9" spans="1:2" ht="12" customHeight="1" x14ac:dyDescent="0.2">
      <c r="A9" s="29" t="s">
        <v>109</v>
      </c>
      <c r="B9" s="29" t="s">
        <v>108</v>
      </c>
    </row>
    <row r="10" spans="1:2" ht="12" customHeight="1" x14ac:dyDescent="0.2">
      <c r="A10" s="29" t="s">
        <v>110</v>
      </c>
      <c r="B10" s="29" t="s">
        <v>111</v>
      </c>
    </row>
    <row r="11" spans="1:2" ht="12" customHeight="1" x14ac:dyDescent="0.2">
      <c r="A11" s="29" t="s">
        <v>112</v>
      </c>
      <c r="B11" s="29" t="s">
        <v>104</v>
      </c>
    </row>
    <row r="12" spans="1:2" ht="12" customHeight="1" x14ac:dyDescent="0.2">
      <c r="A12" s="29" t="s">
        <v>113</v>
      </c>
      <c r="B12" s="29" t="s">
        <v>81</v>
      </c>
    </row>
    <row r="13" spans="1:2" ht="12" customHeight="1" x14ac:dyDescent="0.2">
      <c r="A13" s="29" t="s">
        <v>114</v>
      </c>
      <c r="B13" s="29" t="s">
        <v>115</v>
      </c>
    </row>
    <row r="14" spans="1:2" ht="12" customHeight="1" x14ac:dyDescent="0.2">
      <c r="A14" s="29" t="s">
        <v>116</v>
      </c>
      <c r="B14" s="29" t="s">
        <v>117</v>
      </c>
    </row>
    <row r="15" spans="1:2" ht="12" customHeight="1" x14ac:dyDescent="0.2">
      <c r="A15" s="29" t="s">
        <v>118</v>
      </c>
      <c r="B15" s="29" t="s">
        <v>119</v>
      </c>
    </row>
    <row r="16" spans="1:2" ht="12" customHeight="1" x14ac:dyDescent="0.2">
      <c r="A16" s="29" t="s">
        <v>120</v>
      </c>
      <c r="B16" s="29" t="s">
        <v>121</v>
      </c>
    </row>
    <row r="17" spans="1:2" ht="12" customHeight="1" x14ac:dyDescent="0.2">
      <c r="A17" s="29" t="s">
        <v>122</v>
      </c>
      <c r="B17" s="29" t="s">
        <v>123</v>
      </c>
    </row>
    <row r="18" spans="1:2" ht="12" customHeight="1" x14ac:dyDescent="0.2">
      <c r="A18" s="29" t="s">
        <v>124</v>
      </c>
      <c r="B18" s="29" t="s">
        <v>125</v>
      </c>
    </row>
    <row r="19" spans="1:2" ht="12" customHeight="1" x14ac:dyDescent="0.2">
      <c r="A19" s="29"/>
      <c r="B19" s="29"/>
    </row>
    <row r="20" spans="1:2" ht="12" customHeight="1" x14ac:dyDescent="0.2">
      <c r="A20" s="29"/>
      <c r="B20" s="29"/>
    </row>
    <row r="21" spans="1:2" ht="15.75" customHeight="1" x14ac:dyDescent="0.2">
      <c r="A21" s="29"/>
      <c r="B21" s="29"/>
    </row>
    <row r="22" spans="1:2" ht="15.75" customHeight="1" x14ac:dyDescent="0.2">
      <c r="A22" s="29"/>
      <c r="B22" s="29"/>
    </row>
    <row r="23" spans="1:2" ht="15.75" customHeight="1" x14ac:dyDescent="0.2">
      <c r="A23" s="29"/>
      <c r="B23" s="29"/>
    </row>
    <row r="24" spans="1:2" ht="15.75" customHeight="1" x14ac:dyDescent="0.2">
      <c r="A24" s="29"/>
      <c r="B24" s="29"/>
    </row>
    <row r="25" spans="1:2" ht="15.75" customHeight="1" x14ac:dyDescent="0.2">
      <c r="A25" s="29"/>
      <c r="B25" s="29"/>
    </row>
    <row r="26" spans="1:2" ht="15.75" customHeight="1" x14ac:dyDescent="0.2"/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4791666666666701" right="0.74791666666666701" top="0.98402777777777795" bottom="0.9840277777777779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2.5703125" defaultRowHeight="15" customHeight="1" x14ac:dyDescent="0.2"/>
  <cols>
    <col min="1" max="1" width="4.42578125" customWidth="1"/>
    <col min="2" max="2" width="15.140625" customWidth="1"/>
    <col min="3" max="6" width="8.7109375" customWidth="1"/>
  </cols>
  <sheetData>
    <row r="1" spans="1:2" ht="12" customHeight="1" x14ac:dyDescent="0.2">
      <c r="A1" s="29" t="s">
        <v>126</v>
      </c>
      <c r="B1" s="29" t="s">
        <v>127</v>
      </c>
    </row>
    <row r="2" spans="1:2" ht="12" customHeight="1" x14ac:dyDescent="0.2">
      <c r="A2" s="24" t="s">
        <v>128</v>
      </c>
      <c r="B2" s="25" t="s">
        <v>129</v>
      </c>
    </row>
    <row r="3" spans="1:2" ht="12" customHeight="1" x14ac:dyDescent="0.2">
      <c r="A3" s="26" t="s">
        <v>130</v>
      </c>
      <c r="B3" s="27" t="s">
        <v>84</v>
      </c>
    </row>
    <row r="4" spans="1:2" ht="12" customHeight="1" x14ac:dyDescent="0.2">
      <c r="A4" s="24" t="s">
        <v>131</v>
      </c>
      <c r="B4" s="25" t="s">
        <v>132</v>
      </c>
    </row>
    <row r="5" spans="1:2" ht="12" customHeight="1" x14ac:dyDescent="0.2">
      <c r="A5" s="26" t="s">
        <v>133</v>
      </c>
      <c r="B5" s="27" t="s">
        <v>134</v>
      </c>
    </row>
    <row r="6" spans="1:2" ht="12" customHeight="1" x14ac:dyDescent="0.2">
      <c r="A6" s="24" t="s">
        <v>135</v>
      </c>
      <c r="B6" s="25" t="s">
        <v>136</v>
      </c>
    </row>
    <row r="7" spans="1:2" ht="12" customHeight="1" x14ac:dyDescent="0.2">
      <c r="A7" s="26" t="s">
        <v>137</v>
      </c>
      <c r="B7" s="27" t="s">
        <v>138</v>
      </c>
    </row>
    <row r="8" spans="1:2" ht="12" customHeight="1" x14ac:dyDescent="0.2">
      <c r="A8" s="24" t="s">
        <v>139</v>
      </c>
      <c r="B8" s="25" t="s">
        <v>140</v>
      </c>
    </row>
    <row r="9" spans="1:2" ht="12" customHeight="1" x14ac:dyDescent="0.2">
      <c r="A9" s="26" t="s">
        <v>141</v>
      </c>
      <c r="B9" s="27" t="s">
        <v>142</v>
      </c>
    </row>
    <row r="10" spans="1:2" ht="12" customHeight="1" x14ac:dyDescent="0.2">
      <c r="A10" s="24" t="s">
        <v>143</v>
      </c>
      <c r="B10" s="25" t="s">
        <v>144</v>
      </c>
    </row>
    <row r="11" spans="1:2" ht="12" customHeight="1" x14ac:dyDescent="0.2">
      <c r="A11" s="26" t="s">
        <v>145</v>
      </c>
      <c r="B11" s="27" t="s">
        <v>146</v>
      </c>
    </row>
    <row r="12" spans="1:2" ht="12" customHeight="1" x14ac:dyDescent="0.2">
      <c r="A12" s="24" t="s">
        <v>147</v>
      </c>
      <c r="B12" s="25" t="s">
        <v>148</v>
      </c>
    </row>
    <row r="13" spans="1:2" ht="12" customHeight="1" x14ac:dyDescent="0.2">
      <c r="A13" s="26" t="s">
        <v>149</v>
      </c>
      <c r="B13" s="27" t="s">
        <v>150</v>
      </c>
    </row>
    <row r="14" spans="1:2" ht="12" customHeight="1" x14ac:dyDescent="0.2"/>
    <row r="15" spans="1:2" ht="12" customHeight="1" x14ac:dyDescent="0.2"/>
    <row r="16" spans="1:2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2.5703125" defaultRowHeight="15" customHeight="1" x14ac:dyDescent="0.2"/>
  <cols>
    <col min="1" max="1" width="14.42578125" customWidth="1"/>
    <col min="2" max="2" width="5.5703125" customWidth="1"/>
    <col min="3" max="6" width="8.7109375" customWidth="1"/>
  </cols>
  <sheetData>
    <row r="1" spans="1:2" ht="12" customHeight="1" x14ac:dyDescent="0.2">
      <c r="A1" s="29" t="s">
        <v>126</v>
      </c>
      <c r="B1" s="29" t="s">
        <v>127</v>
      </c>
    </row>
    <row r="2" spans="1:2" ht="12" customHeight="1" x14ac:dyDescent="0.2">
      <c r="A2" s="28" t="s">
        <v>151</v>
      </c>
      <c r="B2" s="29" t="s">
        <v>152</v>
      </c>
    </row>
    <row r="3" spans="1:2" ht="12" customHeight="1" x14ac:dyDescent="0.2">
      <c r="A3" s="28" t="s">
        <v>153</v>
      </c>
      <c r="B3" s="29" t="s">
        <v>86</v>
      </c>
    </row>
    <row r="4" spans="1:2" ht="12" customHeight="1" x14ac:dyDescent="0.2">
      <c r="A4" s="29" t="s">
        <v>154</v>
      </c>
      <c r="B4" s="29" t="s">
        <v>155</v>
      </c>
    </row>
    <row r="5" spans="1:2" ht="12" customHeight="1" x14ac:dyDescent="0.2">
      <c r="A5" s="29" t="s">
        <v>156</v>
      </c>
      <c r="B5" s="29" t="s">
        <v>157</v>
      </c>
    </row>
    <row r="6" spans="1:2" ht="12" customHeight="1" x14ac:dyDescent="0.2">
      <c r="A6" s="29" t="s">
        <v>158</v>
      </c>
      <c r="B6" s="29" t="s">
        <v>159</v>
      </c>
    </row>
    <row r="7" spans="1:2" ht="12" customHeight="1" x14ac:dyDescent="0.2">
      <c r="A7" s="29" t="s">
        <v>160</v>
      </c>
      <c r="B7" s="29" t="s">
        <v>161</v>
      </c>
    </row>
    <row r="8" spans="1:2" ht="12" customHeight="1" x14ac:dyDescent="0.2">
      <c r="A8" s="29" t="s">
        <v>162</v>
      </c>
      <c r="B8" s="29" t="s">
        <v>163</v>
      </c>
    </row>
    <row r="9" spans="1:2" ht="12" customHeight="1" x14ac:dyDescent="0.2">
      <c r="A9" s="29" t="s">
        <v>164</v>
      </c>
      <c r="B9" s="29" t="s">
        <v>161</v>
      </c>
    </row>
    <row r="10" spans="1:2" ht="12" customHeight="1" x14ac:dyDescent="0.2">
      <c r="A10" s="29" t="s">
        <v>165</v>
      </c>
      <c r="B10" s="29" t="s">
        <v>166</v>
      </c>
    </row>
    <row r="11" spans="1:2" ht="12" customHeight="1" x14ac:dyDescent="0.2">
      <c r="A11" s="29" t="s">
        <v>167</v>
      </c>
      <c r="B11" s="29" t="s">
        <v>168</v>
      </c>
    </row>
    <row r="12" spans="1:2" ht="12" customHeight="1" x14ac:dyDescent="0.2">
      <c r="A12" s="29" t="s">
        <v>169</v>
      </c>
      <c r="B12" s="29" t="s">
        <v>170</v>
      </c>
    </row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2.5703125" defaultRowHeight="15" customHeight="1" x14ac:dyDescent="0.2"/>
  <cols>
    <col min="1" max="1" width="3.42578125" customWidth="1"/>
    <col min="2" max="2" width="4.85546875" customWidth="1"/>
    <col min="3" max="6" width="8.7109375" customWidth="1"/>
  </cols>
  <sheetData>
    <row r="1" spans="1:2" ht="12" customHeight="1" x14ac:dyDescent="0.2">
      <c r="A1" s="29" t="s">
        <v>126</v>
      </c>
      <c r="B1" s="29" t="s">
        <v>127</v>
      </c>
    </row>
    <row r="2" spans="1:2" ht="12" customHeight="1" x14ac:dyDescent="0.2">
      <c r="A2" s="29" t="s">
        <v>171</v>
      </c>
      <c r="B2" s="29" t="s">
        <v>172</v>
      </c>
    </row>
    <row r="3" spans="1:2" ht="12" customHeight="1" x14ac:dyDescent="0.2">
      <c r="A3" s="29" t="s">
        <v>173</v>
      </c>
      <c r="B3" s="29" t="s">
        <v>174</v>
      </c>
    </row>
    <row r="4" spans="1:2" ht="12" customHeight="1" x14ac:dyDescent="0.2">
      <c r="A4" s="29" t="s">
        <v>175</v>
      </c>
      <c r="B4" s="29" t="s">
        <v>87</v>
      </c>
    </row>
    <row r="5" spans="1:2" ht="12" customHeight="1" x14ac:dyDescent="0.2">
      <c r="A5" s="29" t="s">
        <v>176</v>
      </c>
      <c r="B5" s="29" t="s">
        <v>177</v>
      </c>
    </row>
    <row r="6" spans="1:2" ht="12" customHeight="1" x14ac:dyDescent="0.2">
      <c r="A6" s="29" t="s">
        <v>178</v>
      </c>
      <c r="B6" s="29" t="s">
        <v>179</v>
      </c>
    </row>
    <row r="7" spans="1:2" ht="12" customHeight="1" x14ac:dyDescent="0.2">
      <c r="A7" s="29" t="s">
        <v>180</v>
      </c>
      <c r="B7" s="29" t="s">
        <v>181</v>
      </c>
    </row>
    <row r="8" spans="1:2" ht="12" customHeight="1" x14ac:dyDescent="0.2">
      <c r="A8" s="29" t="s">
        <v>182</v>
      </c>
      <c r="B8" s="29" t="s">
        <v>183</v>
      </c>
    </row>
    <row r="9" spans="1:2" ht="12" customHeight="1" x14ac:dyDescent="0.2"/>
    <row r="10" spans="1:2" ht="12" customHeight="1" x14ac:dyDescent="0.2"/>
    <row r="11" spans="1:2" ht="12" customHeight="1" x14ac:dyDescent="0.2"/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>
      <selection activeCell="A5" sqref="A5"/>
    </sheetView>
  </sheetViews>
  <sheetFormatPr defaultColWidth="12.5703125" defaultRowHeight="15" customHeight="1" x14ac:dyDescent="0.2"/>
  <cols>
    <col min="1" max="1" width="18.42578125" customWidth="1"/>
    <col min="2" max="2" width="9" customWidth="1"/>
    <col min="3" max="6" width="8.7109375" customWidth="1"/>
  </cols>
  <sheetData>
    <row r="1" spans="1:2" ht="12" customHeight="1" x14ac:dyDescent="0.2">
      <c r="A1" s="29" t="s">
        <v>126</v>
      </c>
      <c r="B1" s="29" t="s">
        <v>127</v>
      </c>
    </row>
    <row r="2" spans="1:2" ht="12" customHeight="1" x14ac:dyDescent="0.2">
      <c r="A2" s="29" t="s">
        <v>184</v>
      </c>
      <c r="B2" s="29" t="s">
        <v>185</v>
      </c>
    </row>
    <row r="3" spans="1:2" ht="12" customHeight="1" x14ac:dyDescent="0.2">
      <c r="A3" s="29" t="s">
        <v>186</v>
      </c>
      <c r="B3" s="29" t="s">
        <v>187</v>
      </c>
    </row>
    <row r="4" spans="1:2" ht="12" customHeight="1" x14ac:dyDescent="0.2">
      <c r="A4" s="29" t="s">
        <v>188</v>
      </c>
      <c r="B4" s="29" t="s">
        <v>189</v>
      </c>
    </row>
    <row r="5" spans="1:2" ht="12" customHeight="1" x14ac:dyDescent="0.2">
      <c r="A5" s="29" t="s">
        <v>190</v>
      </c>
      <c r="B5" s="29" t="s">
        <v>89</v>
      </c>
    </row>
    <row r="6" spans="1:2" ht="12" customHeight="1" x14ac:dyDescent="0.2">
      <c r="A6" s="29" t="s">
        <v>191</v>
      </c>
      <c r="B6" s="29" t="s">
        <v>88</v>
      </c>
    </row>
    <row r="7" spans="1:2" ht="12" customHeight="1" x14ac:dyDescent="0.2">
      <c r="A7" s="29" t="s">
        <v>192</v>
      </c>
      <c r="B7" s="29" t="s">
        <v>193</v>
      </c>
    </row>
    <row r="8" spans="1:2" ht="12" customHeight="1" x14ac:dyDescent="0.2"/>
    <row r="9" spans="1:2" ht="12" customHeight="1" x14ac:dyDescent="0.2"/>
    <row r="10" spans="1:2" ht="12" customHeight="1" x14ac:dyDescent="0.2"/>
    <row r="11" spans="1:2" ht="12" customHeight="1" x14ac:dyDescent="0.2"/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2.5703125" defaultRowHeight="15" customHeight="1" x14ac:dyDescent="0.2"/>
  <cols>
    <col min="1" max="1" width="32.5703125" customWidth="1"/>
    <col min="2" max="2" width="22.42578125" customWidth="1"/>
    <col min="3" max="6" width="8.7109375" customWidth="1"/>
  </cols>
  <sheetData>
    <row r="1" spans="1:2" ht="12" customHeight="1" x14ac:dyDescent="0.2">
      <c r="A1" s="29" t="s">
        <v>126</v>
      </c>
      <c r="B1" s="29" t="s">
        <v>127</v>
      </c>
    </row>
    <row r="2" spans="1:2" ht="12" customHeight="1" x14ac:dyDescent="0.2">
      <c r="A2" s="29" t="s">
        <v>194</v>
      </c>
      <c r="B2" s="29" t="s">
        <v>195</v>
      </c>
    </row>
    <row r="3" spans="1:2" ht="12" customHeight="1" x14ac:dyDescent="0.2">
      <c r="A3" s="29" t="s">
        <v>196</v>
      </c>
      <c r="B3" s="29" t="s">
        <v>90</v>
      </c>
    </row>
    <row r="4" spans="1:2" ht="12" customHeight="1" x14ac:dyDescent="0.2">
      <c r="A4" s="29" t="s">
        <v>197</v>
      </c>
      <c r="B4" s="29" t="s">
        <v>198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/>
    <row r="9" spans="1:2" ht="12" customHeight="1" x14ac:dyDescent="0.2"/>
    <row r="10" spans="1:2" ht="12" customHeight="1" x14ac:dyDescent="0.2"/>
    <row r="11" spans="1:2" ht="12" customHeight="1" x14ac:dyDescent="0.2"/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Project</vt:lpstr>
      <vt:lpstr>UNIT_TYPE</vt:lpstr>
      <vt:lpstr>BEDROOM_NUMBER</vt:lpstr>
      <vt:lpstr>WC_NUMBER</vt:lpstr>
      <vt:lpstr>DIRECTION</vt:lpstr>
      <vt:lpstr>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Quang Tuyền</cp:lastModifiedBy>
  <dcterms:created xsi:type="dcterms:W3CDTF">2026-04-15T09:53:12Z</dcterms:created>
  <dcterms:modified xsi:type="dcterms:W3CDTF">2026-05-07T04:27:32Z</dcterms:modified>
</cp:coreProperties>
</file>